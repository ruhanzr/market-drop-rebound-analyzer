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1067b956bfd92/Projects/market-prediction/data/"/>
    </mc:Choice>
  </mc:AlternateContent>
  <xr:revisionPtr revIDLastSave="1" documentId="8_{882931F8-77E8-44D0-BF73-E0016A2D77E4}" xr6:coauthVersionLast="47" xr6:coauthVersionMax="47" xr10:uidLastSave="{A28DA248-AAE5-49E3-A711-FE6ED5FCB165}"/>
  <bookViews>
    <workbookView xWindow="3660" yWindow="-16320" windowWidth="29040" windowHeight="15720" xr2:uid="{2826C38E-1AC5-4BEE-8392-79AFDBC55906}"/>
  </bookViews>
  <sheets>
    <sheet name="top10_by_period_combined" sheetId="1" r:id="rId1"/>
  </sheets>
  <calcPr calcId="191029"/>
  <pivotCaches>
    <pivotCache cacheId="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5" i="1"/>
  <c r="A8" i="1"/>
  <c r="A9" i="1"/>
  <c r="A10" i="1"/>
  <c r="A12" i="1"/>
  <c r="A13" i="1"/>
  <c r="A14" i="1"/>
  <c r="A15" i="1"/>
  <c r="A17" i="1"/>
  <c r="A3" i="1"/>
  <c r="A6" i="1"/>
  <c r="A7" i="1"/>
  <c r="A11" i="1"/>
  <c r="A18" i="1"/>
  <c r="A19" i="1"/>
  <c r="A20" i="1"/>
  <c r="A21" i="1"/>
  <c r="A22" i="1"/>
  <c r="A16" i="1"/>
  <c r="A23" i="1"/>
  <c r="A24" i="1"/>
  <c r="A25" i="1"/>
  <c r="A26" i="1"/>
  <c r="A27" i="1"/>
  <c r="A28" i="1"/>
  <c r="A29" i="1"/>
  <c r="A30" i="1"/>
  <c r="A31" i="1"/>
  <c r="A4" i="1"/>
</calcChain>
</file>

<file path=xl/sharedStrings.xml><?xml version="1.0" encoding="utf-8"?>
<sst xmlns="http://schemas.openxmlformats.org/spreadsheetml/2006/main" count="82" uniqueCount="30">
  <si>
    <t>Ticker</t>
  </si>
  <si>
    <t>Drop threshold (%)</t>
  </si>
  <si>
    <t>Holding period</t>
  </si>
  <si>
    <t>Number of big drop days</t>
  </si>
  <si>
    <t>Average return (%)</t>
  </si>
  <si>
    <t>Benchmark average return (%)</t>
  </si>
  <si>
    <t>Edge vs benchmark (%)</t>
  </si>
  <si>
    <t>Win rate (%)</t>
  </si>
  <si>
    <t>Best return (%)</t>
  </si>
  <si>
    <t>Worst return (%)</t>
  </si>
  <si>
    <t>Average winning trade (%)</t>
  </si>
  <si>
    <t>Average losing trade (%)</t>
  </si>
  <si>
    <t>Risk-adjusted score</t>
  </si>
  <si>
    <t>Source period</t>
  </si>
  <si>
    <t>Rank in period</t>
  </si>
  <si>
    <t>2010-2014</t>
  </si>
  <si>
    <t>XLF</t>
  </si>
  <si>
    <t>DIA</t>
  </si>
  <si>
    <t>XLE</t>
  </si>
  <si>
    <t>IWM</t>
  </si>
  <si>
    <t>SPY</t>
  </si>
  <si>
    <t>QQQ</t>
  </si>
  <si>
    <t>2015-2019</t>
  </si>
  <si>
    <t>XLK</t>
  </si>
  <si>
    <t>2020-2024</t>
  </si>
  <si>
    <t>XLV</t>
  </si>
  <si>
    <t>Row Labels</t>
  </si>
  <si>
    <t>Grand Total</t>
  </si>
  <si>
    <t>Average risk-adjusted score</t>
  </si>
  <si>
    <t>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</si>
</sst>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D42E307A-3FA8-4C6A-A872-CDF439A7E6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[top10_by_period_combined.xlsx]top10_by_period_combined!PivotTable1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Top-10 Risk-Adjusted Score by Period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top10_by_period_combined!$T$23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top10_by_period_combined!$S$24:$S$27</c:f>
              <c:strCache>
                <c:ptCount val="3"/>
                <c:pt idx="0">
                  <c:v>2010-2014</c:v>
                </c:pt>
                <c:pt idx="1">
                  <c:v>2015-2019</c:v>
                </c:pt>
                <c:pt idx="2">
                  <c:v>2020-2024</c:v>
                </c:pt>
              </c:strCache>
            </c:strRef>
          </c:cat>
          <c:val>
            <c:numRef>
              <c:f>top10_by_period_combined!$T$24:$T$27</c:f>
              <c:numCache>
                <c:formatCode>General</c:formatCode>
                <c:ptCount val="3"/>
                <c:pt idx="0">
                  <c:v>0.60480000000000012</c:v>
                </c:pt>
                <c:pt idx="1">
                  <c:v>0.65670000000000006</c:v>
                </c:pt>
                <c:pt idx="2">
                  <c:v>0.28219999999999995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2-4246-8CD5-C3A7254D7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4290752"/>
        <c:axId val="885925552"/>
      </c:barChart>
      <c:catAx>
        <c:axId val="106429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925552"/>
        <c:crosses val="autoZero"/>
        <c:auto val="1"/>
        <c:lblAlgn val="ctr"/>
        <c:lblOffset val="100"/>
        <c:noMultiLvlLbl val="0"/>
      </c:catAx>
      <c:valAx>
        <c:axId val="88592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29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Setups by Risk-adjusted 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top10_by_period_combined!$N$1</c:f>
              <c:strCache>
                <c:ptCount val="1"/>
                <c:pt idx="0">
                  <c:v>Risk-adjusted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top10_by_period_combined!$A$2:$A$11</c:f>
              <c:strCache>
                <c:ptCount val="10"/>
                <c:pt idx="0">
                  <c:v>2015-2019QQQ -2.5% 5D</c:v>
                </c:pt>
                <c:pt idx="1">
                  <c:v>2015-2019XLK -2.5% 5D</c:v>
                </c:pt>
                <c:pt idx="2">
                  <c:v>2010-2014XLF -3% 5D</c:v>
                </c:pt>
                <c:pt idx="3">
                  <c:v>2010-2014XLF -3% 3D</c:v>
                </c:pt>
                <c:pt idx="4">
                  <c:v>2015-2019SPY -2% 5D</c:v>
                </c:pt>
                <c:pt idx="5">
                  <c:v>2015-2019XLK -2.5% 3D</c:v>
                </c:pt>
                <c:pt idx="6">
                  <c:v>2010-2014DIA -2% 5D</c:v>
                </c:pt>
                <c:pt idx="7">
                  <c:v>2010-2014XLE -3% 5D</c:v>
                </c:pt>
                <c:pt idx="8">
                  <c:v>2010-2014IWM -3% 5D</c:v>
                </c:pt>
                <c:pt idx="9">
                  <c:v>2015-2019XLF -2.5% 5D</c:v>
                </c:pt>
              </c:strCache>
            </c:strRef>
          </c:cat>
          <c:val>
            <c:numRef>
              <c:f>top10_by_period_combined!$N$2:$N$11</c:f>
              <c:numCache>
                <c:formatCode>General</c:formatCode>
                <c:ptCount val="10"/>
                <c:pt idx="0">
                  <c:v>1.5249999999999999</c:v>
                </c:pt>
                <c:pt idx="1">
                  <c:v>1.042</c:v>
                </c:pt>
                <c:pt idx="2">
                  <c:v>0.96899999999999997</c:v>
                </c:pt>
                <c:pt idx="3">
                  <c:v>0.90300000000000002</c:v>
                </c:pt>
                <c:pt idx="4">
                  <c:v>0.83199999999999996</c:v>
                </c:pt>
                <c:pt idx="5">
                  <c:v>0.67200000000000004</c:v>
                </c:pt>
                <c:pt idx="6">
                  <c:v>0.66800000000000004</c:v>
                </c:pt>
                <c:pt idx="7">
                  <c:v>0.64100000000000001</c:v>
                </c:pt>
                <c:pt idx="8">
                  <c:v>0.56200000000000006</c:v>
                </c:pt>
                <c:pt idx="9">
                  <c:v>0.52700000000000002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9-471F-90CD-2B4B6A837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8696512"/>
        <c:axId val="885992272"/>
      </c:barChart>
      <c:catAx>
        <c:axId val="878696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Setup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992272"/>
        <c:crosses val="autoZero"/>
        <c:auto val="1"/>
        <c:lblAlgn val="ctr"/>
        <c:lblOffset val="100"/>
        <c:noMultiLvlLbl val="0"/>
      </c:catAx>
      <c:valAx>
        <c:axId val="8859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Risk-adjusted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69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25400</xdr:colOff>
      <xdr:row>1</xdr:row>
      <xdr:rowOff>58737</xdr:rowOff>
    </xdr:from>
    <xdr:to>
      <xdr:col>20</xdr:col>
      <xdr:colOff>520700</xdr:colOff>
      <xdr:row>16</xdr:row>
      <xdr:rowOff>96837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FFFFFE-43E0-74F3-53C1-976436457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15875</xdr:colOff>
      <xdr:row>17</xdr:row>
      <xdr:rowOff>49211</xdr:rowOff>
    </xdr:from>
    <xdr:to>
      <xdr:col>21</xdr:col>
      <xdr:colOff>349250</xdr:colOff>
      <xdr:row>34</xdr:row>
      <xdr:rowOff>126999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639D10-A95D-0A9F-88D7-ECCE4969B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han Rahman" refreshedDate="46199.607265162034" createdVersion="8" refreshedVersion="8" minRefreshableVersion="3" recordCount="30" xr:uid="{26418456-EECB-451D-8526-31F3C308BC5D}">
  <cacheSource type="worksheet">
    <worksheetSource ref="N1:O31" sheet="top10_by_period_combined"/>
  </cacheSource>
  <cacheFields count="2">
    <cacheField name="Risk-adjusted score" numFmtId="0">
      <sharedItems containsSemiMixedTypes="0" containsString="0" containsNumber="1" minValue="0.187" maxValue="1.5249999999999999"/>
    </cacheField>
    <cacheField name="Source period" numFmtId="0">
      <sharedItems count="3">
        <s v="2010-2014"/>
        <s v="2015-2019"/>
        <s v="2020-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0.96899999999999997"/>
    <x v="0"/>
  </r>
  <r>
    <n v="0.90300000000000002"/>
    <x v="0"/>
  </r>
  <r>
    <n v="0.66800000000000004"/>
    <x v="0"/>
  </r>
  <r>
    <n v="0.64100000000000001"/>
    <x v="0"/>
  </r>
  <r>
    <n v="0.56200000000000006"/>
    <x v="0"/>
  </r>
  <r>
    <n v="0.50800000000000001"/>
    <x v="0"/>
  </r>
  <r>
    <n v="0.47799999999999998"/>
    <x v="0"/>
  </r>
  <r>
    <n v="0.45800000000000002"/>
    <x v="0"/>
  </r>
  <r>
    <n v="0.44500000000000001"/>
    <x v="0"/>
  </r>
  <r>
    <n v="0.41599999999999998"/>
    <x v="0"/>
  </r>
  <r>
    <n v="1.5249999999999999"/>
    <x v="1"/>
  </r>
  <r>
    <n v="1.042"/>
    <x v="1"/>
  </r>
  <r>
    <n v="0.83199999999999996"/>
    <x v="1"/>
  </r>
  <r>
    <n v="0.67200000000000004"/>
    <x v="1"/>
  </r>
  <r>
    <n v="0.52700000000000002"/>
    <x v="1"/>
  </r>
  <r>
    <n v="0.41299999999999998"/>
    <x v="1"/>
  </r>
  <r>
    <n v="0.41199999999999998"/>
    <x v="1"/>
  </r>
  <r>
    <n v="0.38400000000000001"/>
    <x v="1"/>
  </r>
  <r>
    <n v="0.38400000000000001"/>
    <x v="1"/>
  </r>
  <r>
    <n v="0.376"/>
    <x v="1"/>
  </r>
  <r>
    <n v="0.41799999999999998"/>
    <x v="2"/>
  </r>
  <r>
    <n v="0.36299999999999999"/>
    <x v="2"/>
  </r>
  <r>
    <n v="0.34"/>
    <x v="2"/>
  </r>
  <r>
    <n v="0.31900000000000001"/>
    <x v="2"/>
  </r>
  <r>
    <n v="0.27500000000000002"/>
    <x v="2"/>
  </r>
  <r>
    <n v="0.26300000000000001"/>
    <x v="2"/>
  </r>
  <r>
    <n v="0.26200000000000001"/>
    <x v="2"/>
  </r>
  <r>
    <n v="0.20599999999999999"/>
    <x v="2"/>
  </r>
  <r>
    <n v="0.189"/>
    <x v="2"/>
  </r>
  <r>
    <n v="0.18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A7AC7-773D-40FF-A6F8-BFAD8AEBE5A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S23:T27" firstHeaderRow="1" firstDataRow="1" firstDataCol="1"/>
  <pivotFields count="2"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risk-adjusted score" fld="0" subtotal="average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DF77-30D1-4ECE-94F1-097C8C715C7B}">
  <dimension ref="A1:T31"/>
  <sheetViews>
    <sheetView tabSelected="1" workbookViewId="0">
      <selection activeCell="A2" sqref="A2"/>
    </sheetView>
  </sheetViews>
  <sheetFormatPr defaultRowHeight="14.5" x14ac:dyDescent="0.35"/>
  <cols>
    <col min="19" max="19" width="12.90625" bestFit="1" customWidth="1"/>
    <col min="20" max="20" width="25.1796875" bestFit="1" customWidth="1"/>
  </cols>
  <sheetData>
    <row r="1" spans="1:16" x14ac:dyDescent="0.35">
      <c r="A1" t="s">
        <v>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tr">
        <f>_xlfn.CONCAT(O2, B2, " ", C2,"%", " ", D2,"D")</f>
        <v>2015-2019QQQ -2.5% 5D</v>
      </c>
      <c r="B2" t="s">
        <v>21</v>
      </c>
      <c r="C2">
        <v>-2.5</v>
      </c>
      <c r="D2">
        <v>5</v>
      </c>
      <c r="E2">
        <v>33</v>
      </c>
      <c r="F2">
        <v>1.92</v>
      </c>
      <c r="G2">
        <v>0.34</v>
      </c>
      <c r="H2">
        <v>1.58</v>
      </c>
      <c r="I2">
        <v>72.73</v>
      </c>
      <c r="J2">
        <v>7.98</v>
      </c>
      <c r="K2">
        <v>-2.57</v>
      </c>
      <c r="L2">
        <v>3.03</v>
      </c>
      <c r="M2">
        <v>-1.04</v>
      </c>
      <c r="N2">
        <v>1.5249999999999999</v>
      </c>
      <c r="O2" t="s">
        <v>22</v>
      </c>
      <c r="P2">
        <v>1</v>
      </c>
    </row>
    <row r="3" spans="1:16" x14ac:dyDescent="0.35">
      <c r="A3" t="str">
        <f t="shared" ref="A3:A31" si="0">_xlfn.CONCAT(O3, B3, " ", C3,"%", " ", D3,"D")</f>
        <v>2015-2019XLK -2.5% 5D</v>
      </c>
      <c r="B3" t="s">
        <v>23</v>
      </c>
      <c r="C3">
        <v>-2.5</v>
      </c>
      <c r="D3">
        <v>5</v>
      </c>
      <c r="E3">
        <v>30</v>
      </c>
      <c r="F3">
        <v>1.88</v>
      </c>
      <c r="G3">
        <v>0.38</v>
      </c>
      <c r="H3">
        <v>1.5</v>
      </c>
      <c r="I3">
        <v>73.33</v>
      </c>
      <c r="J3">
        <v>8.5</v>
      </c>
      <c r="K3">
        <v>-4.4400000000000004</v>
      </c>
      <c r="L3">
        <v>3.08</v>
      </c>
      <c r="M3">
        <v>-1.44</v>
      </c>
      <c r="N3">
        <v>1.042</v>
      </c>
      <c r="O3" t="s">
        <v>22</v>
      </c>
      <c r="P3">
        <v>2</v>
      </c>
    </row>
    <row r="4" spans="1:16" x14ac:dyDescent="0.35">
      <c r="A4" t="str">
        <f t="shared" si="0"/>
        <v>2010-2014XLF -3% 5D</v>
      </c>
      <c r="B4" t="s">
        <v>16</v>
      </c>
      <c r="C4">
        <v>-3</v>
      </c>
      <c r="D4">
        <v>5</v>
      </c>
      <c r="E4">
        <v>29</v>
      </c>
      <c r="F4">
        <v>2.13</v>
      </c>
      <c r="G4">
        <v>0.27</v>
      </c>
      <c r="H4">
        <v>1.86</v>
      </c>
      <c r="I4">
        <v>65.52</v>
      </c>
      <c r="J4">
        <v>10.28</v>
      </c>
      <c r="K4">
        <v>-5.99</v>
      </c>
      <c r="L4">
        <v>4.26</v>
      </c>
      <c r="M4">
        <v>-1.91</v>
      </c>
      <c r="N4">
        <v>0.96899999999999997</v>
      </c>
      <c r="O4" t="s">
        <v>15</v>
      </c>
      <c r="P4">
        <v>1</v>
      </c>
    </row>
    <row r="5" spans="1:16" x14ac:dyDescent="0.35">
      <c r="A5" t="str">
        <f t="shared" si="0"/>
        <v>2010-2014XLF -3% 3D</v>
      </c>
      <c r="B5" t="s">
        <v>16</v>
      </c>
      <c r="C5">
        <v>-3</v>
      </c>
      <c r="D5">
        <v>3</v>
      </c>
      <c r="E5">
        <v>29</v>
      </c>
      <c r="F5">
        <v>1.56</v>
      </c>
      <c r="G5">
        <v>0.17</v>
      </c>
      <c r="H5">
        <v>1.39</v>
      </c>
      <c r="I5">
        <v>65.52</v>
      </c>
      <c r="J5">
        <v>8.7799999999999994</v>
      </c>
      <c r="K5">
        <v>-4.3099999999999996</v>
      </c>
      <c r="L5">
        <v>3.2</v>
      </c>
      <c r="M5">
        <v>-1.54</v>
      </c>
      <c r="N5">
        <v>0.90300000000000002</v>
      </c>
      <c r="O5" t="s">
        <v>15</v>
      </c>
      <c r="P5">
        <v>2</v>
      </c>
    </row>
    <row r="6" spans="1:16" x14ac:dyDescent="0.35">
      <c r="A6" t="str">
        <f t="shared" si="0"/>
        <v>2015-2019SPY -2% 5D</v>
      </c>
      <c r="B6" t="s">
        <v>20</v>
      </c>
      <c r="C6">
        <v>-2</v>
      </c>
      <c r="D6">
        <v>5</v>
      </c>
      <c r="E6">
        <v>30</v>
      </c>
      <c r="F6">
        <v>1.45</v>
      </c>
      <c r="G6">
        <v>0.24</v>
      </c>
      <c r="H6">
        <v>1.21</v>
      </c>
      <c r="I6">
        <v>70</v>
      </c>
      <c r="J6">
        <v>6.76</v>
      </c>
      <c r="K6">
        <v>-5.0599999999999996</v>
      </c>
      <c r="L6">
        <v>2.69</v>
      </c>
      <c r="M6">
        <v>-1.45</v>
      </c>
      <c r="N6">
        <v>0.83199999999999996</v>
      </c>
      <c r="O6" t="s">
        <v>22</v>
      </c>
      <c r="P6">
        <v>3</v>
      </c>
    </row>
    <row r="7" spans="1:16" x14ac:dyDescent="0.35">
      <c r="A7" t="str">
        <f t="shared" si="0"/>
        <v>2015-2019XLK -2.5% 3D</v>
      </c>
      <c r="B7" t="s">
        <v>23</v>
      </c>
      <c r="C7">
        <v>-2.5</v>
      </c>
      <c r="D7">
        <v>3</v>
      </c>
      <c r="E7">
        <v>30</v>
      </c>
      <c r="F7">
        <v>1.17</v>
      </c>
      <c r="G7">
        <v>0.23</v>
      </c>
      <c r="H7">
        <v>0.94</v>
      </c>
      <c r="I7">
        <v>60</v>
      </c>
      <c r="J7">
        <v>6.63</v>
      </c>
      <c r="K7">
        <v>-2.69</v>
      </c>
      <c r="L7">
        <v>2.88</v>
      </c>
      <c r="M7">
        <v>-1.4</v>
      </c>
      <c r="N7">
        <v>0.67200000000000004</v>
      </c>
      <c r="O7" t="s">
        <v>22</v>
      </c>
      <c r="P7">
        <v>4</v>
      </c>
    </row>
    <row r="8" spans="1:16" x14ac:dyDescent="0.35">
      <c r="A8" t="str">
        <f t="shared" si="0"/>
        <v>2010-2014DIA -2% 5D</v>
      </c>
      <c r="B8" t="s">
        <v>17</v>
      </c>
      <c r="C8">
        <v>-2</v>
      </c>
      <c r="D8">
        <v>5</v>
      </c>
      <c r="E8">
        <v>31</v>
      </c>
      <c r="F8">
        <v>1.79</v>
      </c>
      <c r="G8">
        <v>0.28000000000000003</v>
      </c>
      <c r="H8">
        <v>1.51</v>
      </c>
      <c r="I8">
        <v>74.19</v>
      </c>
      <c r="J8">
        <v>7.38</v>
      </c>
      <c r="K8">
        <v>-5.14</v>
      </c>
      <c r="L8">
        <v>3.19</v>
      </c>
      <c r="M8">
        <v>-2.25</v>
      </c>
      <c r="N8">
        <v>0.66800000000000004</v>
      </c>
      <c r="O8" t="s">
        <v>15</v>
      </c>
      <c r="P8">
        <v>3</v>
      </c>
    </row>
    <row r="9" spans="1:16" x14ac:dyDescent="0.35">
      <c r="A9" t="str">
        <f t="shared" si="0"/>
        <v>2010-2014XLE -3% 5D</v>
      </c>
      <c r="B9" t="s">
        <v>18</v>
      </c>
      <c r="C9">
        <v>-3</v>
      </c>
      <c r="D9">
        <v>5</v>
      </c>
      <c r="E9">
        <v>30</v>
      </c>
      <c r="F9">
        <v>2.5099999999999998</v>
      </c>
      <c r="G9">
        <v>0.2</v>
      </c>
      <c r="H9">
        <v>2.31</v>
      </c>
      <c r="I9">
        <v>83.33</v>
      </c>
      <c r="J9">
        <v>12.63</v>
      </c>
      <c r="K9">
        <v>-5.0599999999999996</v>
      </c>
      <c r="L9">
        <v>3.73</v>
      </c>
      <c r="M9">
        <v>-3.61</v>
      </c>
      <c r="N9">
        <v>0.64100000000000001</v>
      </c>
      <c r="O9" t="s">
        <v>15</v>
      </c>
      <c r="P9">
        <v>4</v>
      </c>
    </row>
    <row r="10" spans="1:16" x14ac:dyDescent="0.35">
      <c r="A10" t="str">
        <f t="shared" si="0"/>
        <v>2010-2014IWM -3% 5D</v>
      </c>
      <c r="B10" t="s">
        <v>19</v>
      </c>
      <c r="C10">
        <v>-3</v>
      </c>
      <c r="D10">
        <v>5</v>
      </c>
      <c r="E10">
        <v>28</v>
      </c>
      <c r="F10">
        <v>2.0499999999999998</v>
      </c>
      <c r="G10">
        <v>0.32</v>
      </c>
      <c r="H10">
        <v>1.73</v>
      </c>
      <c r="I10">
        <v>67.86</v>
      </c>
      <c r="J10">
        <v>12.1</v>
      </c>
      <c r="K10">
        <v>-9.5</v>
      </c>
      <c r="L10">
        <v>4.4800000000000004</v>
      </c>
      <c r="M10">
        <v>-3.08</v>
      </c>
      <c r="N10">
        <v>0.56200000000000006</v>
      </c>
      <c r="O10" t="s">
        <v>15</v>
      </c>
      <c r="P10">
        <v>5</v>
      </c>
    </row>
    <row r="11" spans="1:16" x14ac:dyDescent="0.35">
      <c r="A11" t="str">
        <f t="shared" si="0"/>
        <v>2015-2019XLF -2.5% 5D</v>
      </c>
      <c r="B11" t="s">
        <v>16</v>
      </c>
      <c r="C11">
        <v>-2.5</v>
      </c>
      <c r="D11">
        <v>5</v>
      </c>
      <c r="E11">
        <v>27</v>
      </c>
      <c r="F11">
        <v>1.26</v>
      </c>
      <c r="G11">
        <v>0.24</v>
      </c>
      <c r="H11">
        <v>1.02</v>
      </c>
      <c r="I11">
        <v>70.37</v>
      </c>
      <c r="J11">
        <v>6.85</v>
      </c>
      <c r="K11">
        <v>-5.01</v>
      </c>
      <c r="L11">
        <v>2.6</v>
      </c>
      <c r="M11">
        <v>-1.93</v>
      </c>
      <c r="N11">
        <v>0.52700000000000002</v>
      </c>
      <c r="O11" t="s">
        <v>22</v>
      </c>
      <c r="P11">
        <v>5</v>
      </c>
    </row>
    <row r="12" spans="1:16" x14ac:dyDescent="0.35">
      <c r="A12" t="str">
        <f t="shared" si="0"/>
        <v>2010-2014SPY -2% 5D</v>
      </c>
      <c r="B12" t="s">
        <v>20</v>
      </c>
      <c r="C12">
        <v>-2</v>
      </c>
      <c r="D12">
        <v>5</v>
      </c>
      <c r="E12">
        <v>38</v>
      </c>
      <c r="F12">
        <v>1.28</v>
      </c>
      <c r="G12">
        <v>0.3</v>
      </c>
      <c r="H12">
        <v>0.97</v>
      </c>
      <c r="I12">
        <v>63.16</v>
      </c>
      <c r="J12">
        <v>8.7799999999999994</v>
      </c>
      <c r="K12">
        <v>-6.38</v>
      </c>
      <c r="L12">
        <v>3.14</v>
      </c>
      <c r="M12">
        <v>-1.92</v>
      </c>
      <c r="N12">
        <v>0.50800000000000001</v>
      </c>
      <c r="O12" t="s">
        <v>15</v>
      </c>
      <c r="P12">
        <v>6</v>
      </c>
    </row>
    <row r="13" spans="1:16" x14ac:dyDescent="0.35">
      <c r="A13" t="str">
        <f t="shared" si="0"/>
        <v>2010-2014DIA -2% 3D</v>
      </c>
      <c r="B13" t="s">
        <v>17</v>
      </c>
      <c r="C13">
        <v>-2</v>
      </c>
      <c r="D13">
        <v>3</v>
      </c>
      <c r="E13">
        <v>31</v>
      </c>
      <c r="F13">
        <v>0.84</v>
      </c>
      <c r="G13">
        <v>0.17</v>
      </c>
      <c r="H13">
        <v>0.68</v>
      </c>
      <c r="I13">
        <v>64.52</v>
      </c>
      <c r="J13">
        <v>7.13</v>
      </c>
      <c r="K13">
        <v>-3.55</v>
      </c>
      <c r="L13">
        <v>2.08</v>
      </c>
      <c r="M13">
        <v>-1.41</v>
      </c>
      <c r="N13">
        <v>0.47799999999999998</v>
      </c>
      <c r="O13" t="s">
        <v>15</v>
      </c>
      <c r="P13">
        <v>7</v>
      </c>
    </row>
    <row r="14" spans="1:16" x14ac:dyDescent="0.35">
      <c r="A14" t="str">
        <f t="shared" si="0"/>
        <v>2010-2014DIA -1.5% 5D</v>
      </c>
      <c r="B14" t="s">
        <v>17</v>
      </c>
      <c r="C14">
        <v>-1.5</v>
      </c>
      <c r="D14">
        <v>5</v>
      </c>
      <c r="E14">
        <v>58</v>
      </c>
      <c r="F14">
        <v>1.04</v>
      </c>
      <c r="G14">
        <v>0.28000000000000003</v>
      </c>
      <c r="H14">
        <v>0.76</v>
      </c>
      <c r="I14">
        <v>60.34</v>
      </c>
      <c r="J14">
        <v>7.38</v>
      </c>
      <c r="K14">
        <v>-5.14</v>
      </c>
      <c r="L14">
        <v>2.82</v>
      </c>
      <c r="M14">
        <v>-1.67</v>
      </c>
      <c r="N14">
        <v>0.45800000000000002</v>
      </c>
      <c r="O14" t="s">
        <v>15</v>
      </c>
      <c r="P14">
        <v>8</v>
      </c>
    </row>
    <row r="15" spans="1:16" x14ac:dyDescent="0.35">
      <c r="A15" t="str">
        <f t="shared" si="0"/>
        <v>2010-2014XLF -2.5% 5D</v>
      </c>
      <c r="B15" t="s">
        <v>16</v>
      </c>
      <c r="C15">
        <v>-2.5</v>
      </c>
      <c r="D15">
        <v>5</v>
      </c>
      <c r="E15">
        <v>43</v>
      </c>
      <c r="F15">
        <v>1.33</v>
      </c>
      <c r="G15">
        <v>0.27</v>
      </c>
      <c r="H15">
        <v>1.06</v>
      </c>
      <c r="I15">
        <v>55.81</v>
      </c>
      <c r="J15">
        <v>10.28</v>
      </c>
      <c r="K15">
        <v>-8.7100000000000009</v>
      </c>
      <c r="L15">
        <v>4.2699999999999996</v>
      </c>
      <c r="M15">
        <v>-2.38</v>
      </c>
      <c r="N15">
        <v>0.44500000000000001</v>
      </c>
      <c r="O15" t="s">
        <v>15</v>
      </c>
      <c r="P15">
        <v>9</v>
      </c>
    </row>
    <row r="16" spans="1:16" x14ac:dyDescent="0.35">
      <c r="A16" t="str">
        <f t="shared" si="0"/>
        <v>2020-2024DIA -2.5% 1D</v>
      </c>
      <c r="B16" t="s">
        <v>17</v>
      </c>
      <c r="C16">
        <v>-2.5</v>
      </c>
      <c r="D16">
        <v>1</v>
      </c>
      <c r="E16">
        <v>31</v>
      </c>
      <c r="F16">
        <v>0.89</v>
      </c>
      <c r="G16">
        <v>0.05</v>
      </c>
      <c r="H16">
        <v>0.84</v>
      </c>
      <c r="I16">
        <v>61.29</v>
      </c>
      <c r="J16">
        <v>11.02</v>
      </c>
      <c r="K16">
        <v>-10.06</v>
      </c>
      <c r="L16">
        <v>2.72</v>
      </c>
      <c r="M16">
        <v>-2.0099999999999998</v>
      </c>
      <c r="N16">
        <v>0.41799999999999998</v>
      </c>
      <c r="O16" t="s">
        <v>24</v>
      </c>
      <c r="P16">
        <v>1</v>
      </c>
    </row>
    <row r="17" spans="1:20" x14ac:dyDescent="0.35">
      <c r="A17" t="str">
        <f t="shared" si="0"/>
        <v>2010-2014QQQ -2.5% 5D</v>
      </c>
      <c r="B17" t="s">
        <v>21</v>
      </c>
      <c r="C17">
        <v>-2.5</v>
      </c>
      <c r="D17">
        <v>5</v>
      </c>
      <c r="E17">
        <v>26</v>
      </c>
      <c r="F17">
        <v>1.4</v>
      </c>
      <c r="G17">
        <v>0.38</v>
      </c>
      <c r="H17">
        <v>1.02</v>
      </c>
      <c r="I17">
        <v>69.23</v>
      </c>
      <c r="J17">
        <v>9.39</v>
      </c>
      <c r="K17">
        <v>-5.76</v>
      </c>
      <c r="L17">
        <v>3.1</v>
      </c>
      <c r="M17">
        <v>-2.4500000000000002</v>
      </c>
      <c r="N17">
        <v>0.41599999999999998</v>
      </c>
      <c r="O17" t="s">
        <v>15</v>
      </c>
      <c r="P17">
        <v>10</v>
      </c>
    </row>
    <row r="18" spans="1:20" x14ac:dyDescent="0.35">
      <c r="A18" t="str">
        <f t="shared" si="0"/>
        <v>2015-2019XLK -2% 5D</v>
      </c>
      <c r="B18" t="s">
        <v>23</v>
      </c>
      <c r="C18">
        <v>-2</v>
      </c>
      <c r="D18">
        <v>5</v>
      </c>
      <c r="E18">
        <v>50</v>
      </c>
      <c r="F18">
        <v>1.33</v>
      </c>
      <c r="G18">
        <v>0.38</v>
      </c>
      <c r="H18">
        <v>0.95</v>
      </c>
      <c r="I18">
        <v>70</v>
      </c>
      <c r="J18">
        <v>8.5</v>
      </c>
      <c r="K18">
        <v>-8.43</v>
      </c>
      <c r="L18">
        <v>2.89</v>
      </c>
      <c r="M18">
        <v>-2.2999999999999998</v>
      </c>
      <c r="N18">
        <v>0.41299999999999998</v>
      </c>
      <c r="O18" t="s">
        <v>22</v>
      </c>
      <c r="P18">
        <v>6</v>
      </c>
    </row>
    <row r="19" spans="1:20" x14ac:dyDescent="0.35">
      <c r="A19" t="str">
        <f t="shared" si="0"/>
        <v>2015-2019QQQ -2.5% 3D</v>
      </c>
      <c r="B19" t="s">
        <v>21</v>
      </c>
      <c r="C19">
        <v>-2.5</v>
      </c>
      <c r="D19">
        <v>3</v>
      </c>
      <c r="E19">
        <v>33</v>
      </c>
      <c r="F19">
        <v>1.02</v>
      </c>
      <c r="G19">
        <v>0.2</v>
      </c>
      <c r="H19">
        <v>0.82</v>
      </c>
      <c r="I19">
        <v>66.67</v>
      </c>
      <c r="J19">
        <v>7.29</v>
      </c>
      <c r="K19">
        <v>-8.4</v>
      </c>
      <c r="L19">
        <v>2.52</v>
      </c>
      <c r="M19">
        <v>-1.98</v>
      </c>
      <c r="N19">
        <v>0.41199999999999998</v>
      </c>
      <c r="O19" t="s">
        <v>22</v>
      </c>
      <c r="P19">
        <v>7</v>
      </c>
    </row>
    <row r="20" spans="1:20" x14ac:dyDescent="0.35">
      <c r="A20" t="str">
        <f t="shared" si="0"/>
        <v>2015-2019SPY -2% 3D</v>
      </c>
      <c r="B20" t="s">
        <v>20</v>
      </c>
      <c r="C20">
        <v>-2</v>
      </c>
      <c r="D20">
        <v>3</v>
      </c>
      <c r="E20">
        <v>30</v>
      </c>
      <c r="F20">
        <v>0.84</v>
      </c>
      <c r="G20">
        <v>0.14000000000000001</v>
      </c>
      <c r="H20">
        <v>0.7</v>
      </c>
      <c r="I20">
        <v>60</v>
      </c>
      <c r="J20">
        <v>5.72</v>
      </c>
      <c r="K20">
        <v>-8.19</v>
      </c>
      <c r="L20">
        <v>2.61</v>
      </c>
      <c r="M20">
        <v>-1.81</v>
      </c>
      <c r="N20">
        <v>0.38400000000000001</v>
      </c>
      <c r="O20" t="s">
        <v>22</v>
      </c>
      <c r="P20">
        <v>8</v>
      </c>
    </row>
    <row r="21" spans="1:20" x14ac:dyDescent="0.35">
      <c r="A21" t="str">
        <f t="shared" si="0"/>
        <v>2015-2019XLK -2% 3D</v>
      </c>
      <c r="B21" t="s">
        <v>23</v>
      </c>
      <c r="C21">
        <v>-2</v>
      </c>
      <c r="D21">
        <v>3</v>
      </c>
      <c r="E21">
        <v>50</v>
      </c>
      <c r="F21">
        <v>0.89</v>
      </c>
      <c r="G21">
        <v>0.23</v>
      </c>
      <c r="H21">
        <v>0.66</v>
      </c>
      <c r="I21">
        <v>60</v>
      </c>
      <c r="J21">
        <v>6.63</v>
      </c>
      <c r="K21">
        <v>-8.34</v>
      </c>
      <c r="L21">
        <v>2.63</v>
      </c>
      <c r="M21">
        <v>-1.72</v>
      </c>
      <c r="N21">
        <v>0.38400000000000001</v>
      </c>
      <c r="O21" t="s">
        <v>22</v>
      </c>
      <c r="P21">
        <v>9</v>
      </c>
    </row>
    <row r="22" spans="1:20" x14ac:dyDescent="0.35">
      <c r="A22" t="str">
        <f t="shared" si="0"/>
        <v>2015-2019SPY -1.5% 5D</v>
      </c>
      <c r="B22" t="s">
        <v>20</v>
      </c>
      <c r="C22">
        <v>-1.5</v>
      </c>
      <c r="D22">
        <v>5</v>
      </c>
      <c r="E22">
        <v>56</v>
      </c>
      <c r="F22">
        <v>0.99</v>
      </c>
      <c r="G22">
        <v>0.24</v>
      </c>
      <c r="H22">
        <v>0.75</v>
      </c>
      <c r="I22">
        <v>67.86</v>
      </c>
      <c r="J22">
        <v>6.76</v>
      </c>
      <c r="K22">
        <v>-7.7</v>
      </c>
      <c r="L22">
        <v>2.39</v>
      </c>
      <c r="M22">
        <v>-1.99</v>
      </c>
      <c r="N22">
        <v>0.376</v>
      </c>
      <c r="O22" t="s">
        <v>22</v>
      </c>
      <c r="P22">
        <v>10</v>
      </c>
    </row>
    <row r="23" spans="1:20" x14ac:dyDescent="0.35">
      <c r="A23" t="str">
        <f t="shared" si="0"/>
        <v>2020-2024DIA -2% 1D</v>
      </c>
      <c r="B23" t="s">
        <v>17</v>
      </c>
      <c r="C23">
        <v>-2</v>
      </c>
      <c r="D23">
        <v>1</v>
      </c>
      <c r="E23">
        <v>45</v>
      </c>
      <c r="F23">
        <v>0.62</v>
      </c>
      <c r="G23">
        <v>0.05</v>
      </c>
      <c r="H23">
        <v>0.56999999999999995</v>
      </c>
      <c r="I23">
        <v>57.78</v>
      </c>
      <c r="J23">
        <v>11.02</v>
      </c>
      <c r="K23">
        <v>-10.06</v>
      </c>
      <c r="L23">
        <v>2.23</v>
      </c>
      <c r="M23">
        <v>-1.58</v>
      </c>
      <c r="N23">
        <v>0.36299999999999999</v>
      </c>
      <c r="O23" t="s">
        <v>24</v>
      </c>
      <c r="P23">
        <v>2</v>
      </c>
      <c r="S23" s="1" t="s">
        <v>26</v>
      </c>
      <c r="T23" t="s">
        <v>28</v>
      </c>
    </row>
    <row r="24" spans="1:20" x14ac:dyDescent="0.35">
      <c r="A24" t="str">
        <f t="shared" si="0"/>
        <v>2020-2024SPY -2% 1D</v>
      </c>
      <c r="B24" t="s">
        <v>20</v>
      </c>
      <c r="C24">
        <v>-2</v>
      </c>
      <c r="D24">
        <v>1</v>
      </c>
      <c r="E24">
        <v>58</v>
      </c>
      <c r="F24">
        <v>0.52</v>
      </c>
      <c r="G24">
        <v>0.06</v>
      </c>
      <c r="H24">
        <v>0.46</v>
      </c>
      <c r="I24">
        <v>55.17</v>
      </c>
      <c r="J24">
        <v>9.06</v>
      </c>
      <c r="K24">
        <v>-9.57</v>
      </c>
      <c r="L24">
        <v>2.0299999999999998</v>
      </c>
      <c r="M24">
        <v>-1.34</v>
      </c>
      <c r="N24">
        <v>0.34</v>
      </c>
      <c r="O24" t="s">
        <v>24</v>
      </c>
      <c r="P24">
        <v>3</v>
      </c>
      <c r="S24" s="2" t="s">
        <v>15</v>
      </c>
      <c r="T24">
        <v>0.60480000000000012</v>
      </c>
    </row>
    <row r="25" spans="1:20" x14ac:dyDescent="0.35">
      <c r="A25" t="str">
        <f t="shared" si="0"/>
        <v>2020-2024SPY -2.5% 1D</v>
      </c>
      <c r="B25" t="s">
        <v>20</v>
      </c>
      <c r="C25">
        <v>-2.5</v>
      </c>
      <c r="D25">
        <v>1</v>
      </c>
      <c r="E25">
        <v>37</v>
      </c>
      <c r="F25">
        <v>0.6</v>
      </c>
      <c r="G25">
        <v>0.06</v>
      </c>
      <c r="H25">
        <v>0.54</v>
      </c>
      <c r="I25">
        <v>56.76</v>
      </c>
      <c r="J25">
        <v>9.06</v>
      </c>
      <c r="K25">
        <v>-9.57</v>
      </c>
      <c r="L25">
        <v>2.34</v>
      </c>
      <c r="M25">
        <v>-1.69</v>
      </c>
      <c r="N25">
        <v>0.31900000000000001</v>
      </c>
      <c r="O25" t="s">
        <v>24</v>
      </c>
      <c r="P25">
        <v>4</v>
      </c>
      <c r="S25" s="2" t="s">
        <v>22</v>
      </c>
      <c r="T25">
        <v>0.65670000000000006</v>
      </c>
    </row>
    <row r="26" spans="1:20" x14ac:dyDescent="0.35">
      <c r="A26" t="str">
        <f t="shared" si="0"/>
        <v>2020-2024QQQ -3% 1D</v>
      </c>
      <c r="B26" t="s">
        <v>21</v>
      </c>
      <c r="C26">
        <v>-3</v>
      </c>
      <c r="D26">
        <v>1</v>
      </c>
      <c r="E26">
        <v>42</v>
      </c>
      <c r="F26">
        <v>0.55000000000000004</v>
      </c>
      <c r="G26">
        <v>0.08</v>
      </c>
      <c r="H26">
        <v>0.46</v>
      </c>
      <c r="I26">
        <v>59.52</v>
      </c>
      <c r="J26">
        <v>8.4700000000000006</v>
      </c>
      <c r="K26">
        <v>-9.17</v>
      </c>
      <c r="L26">
        <v>2.0699999999999998</v>
      </c>
      <c r="M26">
        <v>-1.69</v>
      </c>
      <c r="N26">
        <v>0.27500000000000002</v>
      </c>
      <c r="O26" t="s">
        <v>24</v>
      </c>
      <c r="P26">
        <v>5</v>
      </c>
      <c r="S26" s="2" t="s">
        <v>24</v>
      </c>
      <c r="T26">
        <v>0.28219999999999995</v>
      </c>
    </row>
    <row r="27" spans="1:20" x14ac:dyDescent="0.35">
      <c r="A27" t="str">
        <f t="shared" si="0"/>
        <v>2020-2024QQQ -2.5% 1D</v>
      </c>
      <c r="B27" t="s">
        <v>21</v>
      </c>
      <c r="C27">
        <v>-2.5</v>
      </c>
      <c r="D27">
        <v>1</v>
      </c>
      <c r="E27">
        <v>69</v>
      </c>
      <c r="F27">
        <v>0.44</v>
      </c>
      <c r="G27">
        <v>0.08</v>
      </c>
      <c r="H27">
        <v>0.36</v>
      </c>
      <c r="I27">
        <v>57.97</v>
      </c>
      <c r="J27">
        <v>8.4700000000000006</v>
      </c>
      <c r="K27">
        <v>-9.17</v>
      </c>
      <c r="L27">
        <v>1.75</v>
      </c>
      <c r="M27">
        <v>-1.36</v>
      </c>
      <c r="N27">
        <v>0.26300000000000001</v>
      </c>
      <c r="O27" t="s">
        <v>24</v>
      </c>
      <c r="P27">
        <v>6</v>
      </c>
      <c r="S27" s="2" t="s">
        <v>27</v>
      </c>
      <c r="T27">
        <v>0.51456666666666673</v>
      </c>
    </row>
    <row r="28" spans="1:20" x14ac:dyDescent="0.35">
      <c r="A28" t="str">
        <f t="shared" si="0"/>
        <v>2020-2024XLV -2% 1D</v>
      </c>
      <c r="B28" t="s">
        <v>25</v>
      </c>
      <c r="C28">
        <v>-2</v>
      </c>
      <c r="D28">
        <v>1</v>
      </c>
      <c r="E28">
        <v>36</v>
      </c>
      <c r="F28">
        <v>0.55000000000000004</v>
      </c>
      <c r="G28">
        <v>0.04</v>
      </c>
      <c r="H28">
        <v>0.51</v>
      </c>
      <c r="I28">
        <v>58.33</v>
      </c>
      <c r="J28">
        <v>7.71</v>
      </c>
      <c r="K28">
        <v>-7.47</v>
      </c>
      <c r="L28">
        <v>2.35</v>
      </c>
      <c r="M28">
        <v>-1.96</v>
      </c>
      <c r="N28">
        <v>0.26200000000000001</v>
      </c>
      <c r="O28" t="s">
        <v>24</v>
      </c>
      <c r="P28">
        <v>7</v>
      </c>
    </row>
    <row r="29" spans="1:20" x14ac:dyDescent="0.35">
      <c r="A29" t="str">
        <f t="shared" si="0"/>
        <v>2020-2024XLK -2.5% 1D</v>
      </c>
      <c r="B29" t="s">
        <v>23</v>
      </c>
      <c r="C29">
        <v>-2.5</v>
      </c>
      <c r="D29">
        <v>1</v>
      </c>
      <c r="E29">
        <v>74</v>
      </c>
      <c r="F29">
        <v>0.45</v>
      </c>
      <c r="G29">
        <v>0.09</v>
      </c>
      <c r="H29">
        <v>0.36</v>
      </c>
      <c r="I29">
        <v>55.41</v>
      </c>
      <c r="J29">
        <v>11.73</v>
      </c>
      <c r="K29">
        <v>-9.76</v>
      </c>
      <c r="L29">
        <v>2.19</v>
      </c>
      <c r="M29">
        <v>-1.72</v>
      </c>
      <c r="N29">
        <v>0.20599999999999999</v>
      </c>
      <c r="O29" t="s">
        <v>24</v>
      </c>
      <c r="P29">
        <v>8</v>
      </c>
    </row>
    <row r="30" spans="1:20" x14ac:dyDescent="0.35">
      <c r="A30" t="str">
        <f t="shared" si="0"/>
        <v>2020-2024XLK -3% 1D</v>
      </c>
      <c r="B30" t="s">
        <v>23</v>
      </c>
      <c r="C30">
        <v>-3</v>
      </c>
      <c r="D30">
        <v>1</v>
      </c>
      <c r="E30">
        <v>44</v>
      </c>
      <c r="F30">
        <v>0.46</v>
      </c>
      <c r="G30">
        <v>0.09</v>
      </c>
      <c r="H30">
        <v>0.37</v>
      </c>
      <c r="I30">
        <v>56.82</v>
      </c>
      <c r="J30">
        <v>11.73</v>
      </c>
      <c r="K30">
        <v>-9.76</v>
      </c>
      <c r="L30">
        <v>2.2999999999999998</v>
      </c>
      <c r="M30">
        <v>-1.96</v>
      </c>
      <c r="N30">
        <v>0.189</v>
      </c>
      <c r="O30" t="s">
        <v>24</v>
      </c>
      <c r="P30">
        <v>9</v>
      </c>
    </row>
    <row r="31" spans="1:20" x14ac:dyDescent="0.35">
      <c r="A31" t="str">
        <f t="shared" si="0"/>
        <v>2020-2024XLV -2.5% 1D</v>
      </c>
      <c r="B31" t="s">
        <v>25</v>
      </c>
      <c r="C31">
        <v>-2.5</v>
      </c>
      <c r="D31">
        <v>1</v>
      </c>
      <c r="E31">
        <v>25</v>
      </c>
      <c r="F31">
        <v>0.43</v>
      </c>
      <c r="G31">
        <v>0.04</v>
      </c>
      <c r="H31">
        <v>0.39</v>
      </c>
      <c r="I31">
        <v>56</v>
      </c>
      <c r="J31">
        <v>7.71</v>
      </c>
      <c r="K31">
        <v>-7.47</v>
      </c>
      <c r="L31">
        <v>2.39</v>
      </c>
      <c r="M31">
        <v>-2.08</v>
      </c>
      <c r="N31">
        <v>0.187</v>
      </c>
      <c r="O31" t="s">
        <v>24</v>
      </c>
      <c r="P31">
        <v>10</v>
      </c>
    </row>
  </sheetData>
  <sortState xmlns:xlrd2="http://schemas.microsoft.com/office/spreadsheetml/2017/richdata2" ref="A2:P31">
    <sortCondition descending="1" ref="N2:N31"/>
  </sortState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top10_by_period_combined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Ruhan Rahman</dc:creator>
  <cp:lastModifiedBy>Ruhan Rahman</cp:lastModifiedBy>
  <dcterms:created xsi:type="dcterms:W3CDTF">2026-06-26T18:54:35Z</dcterms:created>
  <dcterms:modified xsi:type="dcterms:W3CDTF">2026-06-29T16:03:31Z</dcterms:modified>
</cp:coreProperties>
</file>